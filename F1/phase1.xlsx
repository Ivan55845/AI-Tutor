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study_kod\Проектный менеджмент\Проект\Proj\Фаза 1\"/>
    </mc:Choice>
  </mc:AlternateContent>
  <xr:revisionPtr revIDLastSave="0" documentId="13_ncr:1_{8ADAB5DD-1998-46AF-9AA5-E470E8E9B904}" xr6:coauthVersionLast="47" xr6:coauthVersionMax="47" xr10:uidLastSave="{00000000-0000-0000-0000-000000000000}"/>
  <bookViews>
    <workbookView xWindow="22932" yWindow="-108" windowWidth="23256" windowHeight="12576" activeTab="2" xr2:uid="{00000000-000D-0000-FFFF-FFFF00000000}"/>
  </bookViews>
  <sheets>
    <sheet name="Overview" sheetId="1" r:id="rId1"/>
    <sheet name="FuzzyInput" sheetId="2" r:id="rId2"/>
    <sheet name="FuzzyTOPSIS" sheetId="3" r:id="rId3"/>
    <sheet name="МАИ" sheetId="4" r:id="rId4"/>
    <sheet name="sum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E23" i="3"/>
  <c r="F23" i="3"/>
  <c r="G23" i="3"/>
  <c r="H23" i="3"/>
  <c r="I23" i="3"/>
  <c r="J23" i="3"/>
  <c r="K23" i="3"/>
  <c r="L23" i="3"/>
  <c r="M23" i="3"/>
  <c r="D22" i="3"/>
  <c r="E22" i="3"/>
  <c r="F22" i="3"/>
  <c r="G22" i="3"/>
  <c r="H22" i="3"/>
  <c r="I22" i="3"/>
  <c r="J22" i="3"/>
  <c r="K22" i="3"/>
  <c r="L22" i="3"/>
  <c r="M22" i="3"/>
  <c r="M21" i="3"/>
  <c r="D21" i="3"/>
  <c r="E21" i="3"/>
  <c r="F21" i="3"/>
  <c r="G21" i="3"/>
  <c r="H21" i="3"/>
  <c r="I21" i="3"/>
  <c r="J21" i="3"/>
  <c r="K21" i="3"/>
  <c r="L21" i="3"/>
  <c r="D24" i="3"/>
  <c r="E24" i="3"/>
  <c r="F24" i="3"/>
  <c r="G24" i="3"/>
  <c r="H24" i="3"/>
  <c r="I24" i="3"/>
  <c r="J24" i="3"/>
  <c r="K24" i="3"/>
  <c r="L24" i="3"/>
  <c r="M24" i="3"/>
  <c r="C24" i="3"/>
  <c r="C23" i="3"/>
  <c r="C22" i="3"/>
  <c r="C21" i="3"/>
  <c r="B21" i="3"/>
  <c r="B28" i="3"/>
  <c r="B24" i="3"/>
  <c r="B23" i="3"/>
  <c r="B22" i="3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21" i="4"/>
  <c r="D15" i="3"/>
  <c r="D14" i="3"/>
  <c r="B16" i="3"/>
  <c r="C15" i="3"/>
  <c r="B15" i="3"/>
  <c r="B14" i="3"/>
  <c r="B17" i="3"/>
  <c r="B29" i="3"/>
  <c r="C29" i="3"/>
  <c r="D29" i="3"/>
  <c r="E15" i="3"/>
  <c r="E14" i="3"/>
  <c r="E16" i="3"/>
  <c r="E17" i="3"/>
  <c r="E29" i="3"/>
  <c r="F15" i="3"/>
  <c r="F29" i="3"/>
  <c r="G15" i="3"/>
  <c r="G29" i="3"/>
  <c r="H15" i="3"/>
  <c r="H14" i="3"/>
  <c r="H16" i="3"/>
  <c r="H17" i="3"/>
  <c r="H29" i="3"/>
  <c r="I15" i="3"/>
  <c r="I29" i="3"/>
  <c r="J15" i="3"/>
  <c r="J29" i="3"/>
  <c r="K15" i="3"/>
  <c r="K14" i="3"/>
  <c r="K16" i="3"/>
  <c r="K17" i="3"/>
  <c r="K29" i="3"/>
  <c r="L15" i="3"/>
  <c r="L29" i="3"/>
  <c r="M15" i="3"/>
  <c r="M29" i="3"/>
  <c r="C33" i="3"/>
  <c r="D16" i="3"/>
  <c r="D17" i="3"/>
  <c r="C28" i="3"/>
  <c r="D28" i="3"/>
  <c r="G14" i="3"/>
  <c r="G16" i="3"/>
  <c r="G17" i="3"/>
  <c r="E28" i="3"/>
  <c r="F28" i="3"/>
  <c r="G28" i="3"/>
  <c r="J14" i="3"/>
  <c r="J16" i="3"/>
  <c r="J17" i="3"/>
  <c r="H28" i="3"/>
  <c r="I28" i="3"/>
  <c r="J28" i="3"/>
  <c r="M14" i="3"/>
  <c r="M16" i="3"/>
  <c r="M17" i="3"/>
  <c r="K28" i="3"/>
  <c r="L28" i="3"/>
  <c r="M28" i="3"/>
  <c r="B33" i="3"/>
  <c r="D33" i="3"/>
  <c r="C14" i="3"/>
  <c r="F14" i="3"/>
  <c r="I14" i="3"/>
  <c r="L14" i="3"/>
  <c r="C32" i="3"/>
  <c r="B32" i="3"/>
  <c r="D32" i="3"/>
  <c r="C16" i="3"/>
  <c r="F16" i="3"/>
  <c r="I16" i="3"/>
  <c r="L16" i="3"/>
  <c r="C34" i="3"/>
  <c r="B34" i="3"/>
  <c r="D34" i="3"/>
  <c r="C17" i="3"/>
  <c r="F17" i="3"/>
  <c r="I17" i="3"/>
  <c r="L17" i="3"/>
  <c r="C35" i="3"/>
  <c r="B35" i="3"/>
  <c r="D35" i="3"/>
  <c r="E33" i="3"/>
  <c r="E34" i="3"/>
  <c r="E35" i="3"/>
  <c r="E32" i="3"/>
  <c r="G8" i="5"/>
  <c r="G5" i="5"/>
  <c r="C8" i="5"/>
  <c r="C7" i="5"/>
  <c r="C6" i="5"/>
  <c r="C5" i="5"/>
  <c r="F8" i="5"/>
  <c r="F7" i="5"/>
  <c r="F6" i="5"/>
  <c r="F5" i="5"/>
  <c r="B23" i="4"/>
  <c r="C23" i="4"/>
  <c r="B22" i="4"/>
  <c r="C22" i="4"/>
  <c r="C21" i="4"/>
  <c r="B20" i="4"/>
  <c r="C20" i="4"/>
  <c r="F20" i="4"/>
  <c r="F21" i="4"/>
  <c r="F23" i="4"/>
  <c r="B8" i="5"/>
  <c r="B7" i="5"/>
  <c r="B6" i="5"/>
  <c r="B5" i="5"/>
</calcChain>
</file>

<file path=xl/sharedStrings.xml><?xml version="1.0" encoding="utf-8"?>
<sst xmlns="http://schemas.openxmlformats.org/spreadsheetml/2006/main" count="227" uniqueCount="93">
  <si>
    <t>Фаза 1 — расчёты выбора концепции (FinMate)</t>
  </si>
  <si>
    <t>Альтернативы (концепции)</t>
  </si>
  <si>
    <t>Код</t>
  </si>
  <si>
    <t>Критерий</t>
  </si>
  <si>
    <t>Тип</t>
  </si>
  <si>
    <t>Пояснение</t>
  </si>
  <si>
    <t>A1</t>
  </si>
  <si>
    <t>C1</t>
  </si>
  <si>
    <t>Benefit</t>
  </si>
  <si>
    <t>A2</t>
  </si>
  <si>
    <t>C2</t>
  </si>
  <si>
    <t>A3</t>
  </si>
  <si>
    <t>C3</t>
  </si>
  <si>
    <t>Cost</t>
  </si>
  <si>
    <t>A4</t>
  </si>
  <si>
    <t>C4</t>
  </si>
  <si>
    <t>Экспертные трёхточечные оценки (l / m / u)</t>
  </si>
  <si>
    <t>1) Веса критериев (треугольные числа, сумма нормируется)</t>
  </si>
  <si>
    <t>Никита l</t>
  </si>
  <si>
    <t>Никита m</t>
  </si>
  <si>
    <t>Никита u</t>
  </si>
  <si>
    <t>Среднее l</t>
  </si>
  <si>
    <t>Среднее m</t>
  </si>
  <si>
    <t>Среднее u</t>
  </si>
  <si>
    <t>Норм. m</t>
  </si>
  <si>
    <t>Норм. l</t>
  </si>
  <si>
    <t>Норм. u</t>
  </si>
  <si>
    <t>2) Оценки альтернатив по критериям (шкала 1–9; l/m/u)</t>
  </si>
  <si>
    <t>Альтернатива</t>
  </si>
  <si>
    <t>Defuzz (avg)</t>
  </si>
  <si>
    <t>Нечёткий коллективный TOPSIS (triangular l/m/u)</t>
  </si>
  <si>
    <t>Шаг 1. Агрегированная матрица решений X (l/m/u)</t>
  </si>
  <si>
    <t>C1 l</t>
  </si>
  <si>
    <t>C1 m</t>
  </si>
  <si>
    <t>C1 u</t>
  </si>
  <si>
    <t>C2 l</t>
  </si>
  <si>
    <t>C2 m</t>
  </si>
  <si>
    <t>C2 u</t>
  </si>
  <si>
    <t>C3 l</t>
  </si>
  <si>
    <t>C3 m</t>
  </si>
  <si>
    <t>C3 u</t>
  </si>
  <si>
    <t>C4 l</t>
  </si>
  <si>
    <t>C4 m</t>
  </si>
  <si>
    <t>C4 u</t>
  </si>
  <si>
    <t>Шаг 2. Нормализация R (triangular)</t>
  </si>
  <si>
    <t>Шаг 3. Взвешенная нормализация V = R ⊗ w (w берём из FuzzyInput: Norm l/m/u)</t>
  </si>
  <si>
    <t>Шаг 4–5. FPIS/FNIS и расстояния, коэффициент близости</t>
  </si>
  <si>
    <t>A* (FPIS)</t>
  </si>
  <si>
    <t>A- (FNIS)</t>
  </si>
  <si>
    <t>D* (до FPIS)</t>
  </si>
  <si>
    <t>D- (до FNIS)</t>
  </si>
  <si>
    <t>CC = D-/(D*+D-)</t>
  </si>
  <si>
    <t>Ранг</t>
  </si>
  <si>
    <t>Чёткий коллективный МАИ (AHP) — веса критериев + итоговый рейтинг</t>
  </si>
  <si>
    <t>1) Матрица попарных сравнений критериев (групповая)</t>
  </si>
  <si>
    <t>2) Нормализация и веса (среднее по строкам)</t>
  </si>
  <si>
    <t>Вес w</t>
  </si>
  <si>
    <t>3) Проверка согласованности (CI/CR)</t>
  </si>
  <si>
    <t>A*w</t>
  </si>
  <si>
    <t>(A*w)_i</t>
  </si>
  <si>
    <t>λ_i</t>
  </si>
  <si>
    <t>λ_max</t>
  </si>
  <si>
    <t>CI</t>
  </si>
  <si>
    <t>RI</t>
  </si>
  <si>
    <t>CR</t>
  </si>
  <si>
    <t>4) Итоговый рейтинг альтернатив (взвешенная сумма нормированных оценок)</t>
  </si>
  <si>
    <t>C1 score</t>
  </si>
  <si>
    <t>C2 score</t>
  </si>
  <si>
    <t>C3 score</t>
  </si>
  <si>
    <t>C4 score</t>
  </si>
  <si>
    <t>Итог</t>
  </si>
  <si>
    <t>Фаза 1 — Итоги расчётов</t>
  </si>
  <si>
    <t>TOPSIS (CC)</t>
  </si>
  <si>
    <t>AHP (итоговый балл)</t>
  </si>
  <si>
    <t>CC</t>
  </si>
  <si>
    <t>Score</t>
  </si>
  <si>
    <t>Норм. коэфф.</t>
  </si>
  <si>
    <t>Сумма</t>
  </si>
  <si>
    <t>AI Tutor (Персональный AI-репетитор)</t>
  </si>
  <si>
    <t>Социальная значимость</t>
  </si>
  <si>
    <t>Вклад в образование, доступность знаний, польза для школьников и студентов</t>
  </si>
  <si>
    <t>FoodSaver (Продажа продуктов с истекающим сроком)</t>
  </si>
  <si>
    <t>Экологический эффект</t>
  </si>
  <si>
    <t>Снижение пищевых отходов, поддержка устойчивого потребления</t>
  </si>
  <si>
    <t>LegalBot (Юридический AI-ассистент)</t>
  </si>
  <si>
    <t>Юридические риски</t>
  </si>
  <si>
    <t>Риски ошибок в консультациях, ответственность, регуляторные ограничения</t>
  </si>
  <si>
    <t>TravelGenie (AI-планировщик путешествий)</t>
  </si>
  <si>
    <t>Пользовательская ценность</t>
  </si>
  <si>
    <t>Экономия времени, персонализация маршрутов, удобство для пользователей</t>
  </si>
  <si>
    <t>Иван l</t>
  </si>
  <si>
    <t>Иван m</t>
  </si>
  <si>
    <t>Иван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</si>
</sst>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0" borderId="0"/>
    <xf numFmtId="0" fontId="4" fillId="0" borderId="3" applyNumberFormat="0" applyFill="0" applyAlignment="0" applyProtection="0"/>
    <xf numFmtId="0" fontId="5" fillId="2" borderId="4" applyNumberFormat="0" applyAlignment="0" applyProtection="0"/>
  </cellStyleXfs>
  <cellXfs count="17">
    <xf numFmtId="0" fontId="0" fillId="0" borderId="0" xfId="0"/>
    <xf numFmtId="0" fontId="2" fillId="0" borderId="0" xfId="1" applyFont="1"/>
    <xf numFmtId="0" fontId="2" fillId="2" borderId="0" xfId="1" applyFont="1" applyFill="1"/>
    <xf numFmtId="0" fontId="0" fillId="0" borderId="1" xfId="1" applyFont="1" applyBorder="1"/>
    <xf numFmtId="0" fontId="0" fillId="0" borderId="2" xfId="1" applyFont="1" applyBorder="1"/>
    <xf numFmtId="0" fontId="5" fillId="2" borderId="4" xfId="3" applyAlignment="1">
      <alignment wrapText="1"/>
    </xf>
    <xf numFmtId="0" fontId="5" fillId="2" borderId="4" xfId="3" applyAlignment="1">
      <alignment horizontal="left" vertical="center" wrapText="1" indent="1" readingOrder="1"/>
    </xf>
    <xf numFmtId="0" fontId="5" fillId="2" borderId="4" xfId="3" applyAlignment="1">
      <alignment vertical="center" wrapText="1" readingOrder="1"/>
    </xf>
    <xf numFmtId="0" fontId="4" fillId="0" borderId="3" xfId="2" applyAlignment="1">
      <alignment horizontal="left" vertical="center" wrapText="1" indent="1" readingOrder="1"/>
    </xf>
    <xf numFmtId="0" fontId="5" fillId="2" borderId="4" xfId="3"/>
    <xf numFmtId="0" fontId="5" fillId="2" borderId="4" xfId="3" applyAlignment="1"/>
    <xf numFmtId="0" fontId="5" fillId="2" borderId="4" xfId="3" applyAlignment="1">
      <alignment horizontal="left"/>
    </xf>
    <xf numFmtId="0" fontId="6" fillId="0" borderId="0" xfId="1" applyFont="1"/>
    <xf numFmtId="0" fontId="1" fillId="0" borderId="0" xfId="1" applyFont="1"/>
    <xf numFmtId="0" fontId="0" fillId="0" borderId="0" xfId="0"/>
    <xf numFmtId="0" fontId="2" fillId="0" borderId="0" xfId="1" applyFont="1"/>
    <xf numFmtId="0" fontId="0" fillId="0" borderId="0" xfId="1" applyFont="1" applyAlignment="1">
      <alignment wrapText="1"/>
    </xf>
  </cellXfs>
  <cellStyles count="4">
    <cellStyle name="Normal" xfId="1" xr:uid="{00000000-0005-0000-0000-000000000000}"/>
    <cellStyle name="Вывод" xfId="3" builtinId="21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70" zoomScaleNormal="70" zoomScaleSheetLayoutView="100" workbookViewId="0">
      <selection activeCell="B15" sqref="B15"/>
    </sheetView>
  </sheetViews>
  <sheetFormatPr defaultRowHeight="14.4" x14ac:dyDescent="0.3"/>
  <cols>
    <col min="1" max="1" width="14" customWidth="1"/>
    <col min="2" max="2" width="70" customWidth="1"/>
    <col min="4" max="4" width="33" customWidth="1"/>
    <col min="5" max="5" width="30" customWidth="1"/>
    <col min="6" max="6" width="47.44140625" customWidth="1"/>
    <col min="7" max="7" width="55" customWidth="1"/>
  </cols>
  <sheetData>
    <row r="1" spans="1:8" ht="18" x14ac:dyDescent="0.3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3">
      <c r="A3" s="1"/>
      <c r="D3" s="1"/>
    </row>
    <row r="4" spans="1:8" ht="18" thickBot="1" x14ac:dyDescent="0.35">
      <c r="A4" s="8" t="s">
        <v>2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2"/>
    </row>
    <row r="5" spans="1:8" ht="60" customHeight="1" thickTop="1" thickBot="1" x14ac:dyDescent="0.35">
      <c r="A5" s="8" t="s">
        <v>6</v>
      </c>
      <c r="B5" s="8" t="s">
        <v>78</v>
      </c>
      <c r="C5" s="8" t="s">
        <v>7</v>
      </c>
      <c r="D5" s="8" t="s">
        <v>79</v>
      </c>
      <c r="E5" s="8" t="s">
        <v>8</v>
      </c>
      <c r="F5" s="8" t="s">
        <v>80</v>
      </c>
      <c r="G5" s="3"/>
    </row>
    <row r="6" spans="1:8" ht="42.75" customHeight="1" thickTop="1" thickBot="1" x14ac:dyDescent="0.35">
      <c r="A6" s="8" t="s">
        <v>9</v>
      </c>
      <c r="B6" s="8" t="s">
        <v>81</v>
      </c>
      <c r="C6" s="8" t="s">
        <v>10</v>
      </c>
      <c r="D6" s="8" t="s">
        <v>82</v>
      </c>
      <c r="E6" s="8" t="s">
        <v>8</v>
      </c>
      <c r="F6" s="8" t="s">
        <v>83</v>
      </c>
      <c r="G6" s="3"/>
    </row>
    <row r="7" spans="1:8" ht="70.5" customHeight="1" thickTop="1" thickBot="1" x14ac:dyDescent="0.35">
      <c r="A7" s="8" t="s">
        <v>11</v>
      </c>
      <c r="B7" s="8" t="s">
        <v>84</v>
      </c>
      <c r="C7" s="8" t="s">
        <v>12</v>
      </c>
      <c r="D7" s="8" t="s">
        <v>85</v>
      </c>
      <c r="E7" s="8" t="s">
        <v>13</v>
      </c>
      <c r="F7" s="8" t="s">
        <v>86</v>
      </c>
      <c r="G7" s="4"/>
    </row>
    <row r="8" spans="1:8" ht="47.25" customHeight="1" thickTop="1" thickBot="1" x14ac:dyDescent="0.35">
      <c r="A8" s="8" t="s">
        <v>14</v>
      </c>
      <c r="B8" s="8" t="s">
        <v>87</v>
      </c>
      <c r="C8" s="8" t="s">
        <v>15</v>
      </c>
      <c r="D8" s="8" t="s">
        <v>88</v>
      </c>
      <c r="E8" s="8" t="s">
        <v>8</v>
      </c>
      <c r="F8" s="8" t="s">
        <v>89</v>
      </c>
    </row>
    <row r="9" spans="1:8" ht="15" thickTop="1" x14ac:dyDescent="0.3"/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A19" zoomScaleNormal="100" zoomScaleSheetLayoutView="100" workbookViewId="0">
      <selection activeCell="L14" sqref="L14"/>
    </sheetView>
  </sheetViews>
  <sheetFormatPr defaultRowHeight="14.4" x14ac:dyDescent="0.3"/>
  <cols>
    <col min="1" max="1" width="13.33203125" customWidth="1"/>
    <col min="2" max="2" width="12" customWidth="1"/>
    <col min="3" max="15" width="10" customWidth="1"/>
    <col min="16" max="16" width="12" customWidth="1"/>
  </cols>
  <sheetData>
    <row r="1" spans="1:14" ht="18" x14ac:dyDescent="0.35">
      <c r="A1" s="13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10.5" customHeight="1" x14ac:dyDescent="0.3">
      <c r="A3" s="1" t="s">
        <v>17</v>
      </c>
    </row>
    <row r="4" spans="1:14" ht="31.5" customHeight="1" x14ac:dyDescent="0.3">
      <c r="A4" s="6" t="s">
        <v>3</v>
      </c>
      <c r="B4" s="6" t="s">
        <v>18</v>
      </c>
      <c r="C4" s="6" t="s">
        <v>19</v>
      </c>
      <c r="D4" s="6" t="s">
        <v>20</v>
      </c>
      <c r="E4" s="6" t="s">
        <v>90</v>
      </c>
      <c r="F4" s="6" t="s">
        <v>91</v>
      </c>
      <c r="G4" s="6" t="s">
        <v>92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</row>
    <row r="5" spans="1:14" x14ac:dyDescent="0.3">
      <c r="A5" s="6" t="s">
        <v>7</v>
      </c>
      <c r="B5" s="6">
        <v>0.25</v>
      </c>
      <c r="C5" s="6">
        <v>0.3</v>
      </c>
      <c r="D5" s="6">
        <v>0.35</v>
      </c>
      <c r="E5" s="6">
        <v>0.27</v>
      </c>
      <c r="F5" s="6">
        <v>0.32</v>
      </c>
      <c r="G5" s="6">
        <v>0.37</v>
      </c>
      <c r="H5" s="6">
        <v>0.26</v>
      </c>
      <c r="I5" s="6">
        <v>0.31</v>
      </c>
      <c r="J5" s="6">
        <v>0.36</v>
      </c>
      <c r="K5" s="6">
        <v>0.31</v>
      </c>
      <c r="L5" s="6">
        <v>0.26</v>
      </c>
      <c r="M5" s="6">
        <v>0.36</v>
      </c>
    </row>
    <row r="6" spans="1:14" x14ac:dyDescent="0.3">
      <c r="A6" s="6" t="s">
        <v>10</v>
      </c>
      <c r="B6" s="6">
        <v>0.18</v>
      </c>
      <c r="C6" s="6">
        <v>0.22</v>
      </c>
      <c r="D6" s="6">
        <v>0.26</v>
      </c>
      <c r="E6" s="6">
        <v>0.2</v>
      </c>
      <c r="F6" s="6">
        <v>0.24</v>
      </c>
      <c r="G6" s="6">
        <v>0.28000000000000003</v>
      </c>
      <c r="H6" s="6">
        <v>0.19</v>
      </c>
      <c r="I6" s="6">
        <v>0.23</v>
      </c>
      <c r="J6" s="6">
        <v>0.27</v>
      </c>
      <c r="K6" s="6">
        <v>0.23</v>
      </c>
      <c r="L6" s="6">
        <v>0.19</v>
      </c>
      <c r="M6" s="6">
        <v>0.27</v>
      </c>
    </row>
    <row r="7" spans="1:14" x14ac:dyDescent="0.3">
      <c r="A7" s="6" t="s">
        <v>12</v>
      </c>
      <c r="B7" s="6">
        <v>0.12</v>
      </c>
      <c r="C7" s="6">
        <v>0.16</v>
      </c>
      <c r="D7" s="6">
        <v>0.2</v>
      </c>
      <c r="E7" s="6">
        <v>0.13</v>
      </c>
      <c r="F7" s="6">
        <v>0.17</v>
      </c>
      <c r="G7" s="6">
        <v>0.21</v>
      </c>
      <c r="H7" s="6">
        <v>0.125</v>
      </c>
      <c r="I7" s="6">
        <v>0.16500000000000001</v>
      </c>
      <c r="J7" s="6">
        <v>0.20499999999999999</v>
      </c>
      <c r="K7" s="6">
        <v>0.16500000000000001</v>
      </c>
      <c r="L7" s="6">
        <v>0.125</v>
      </c>
      <c r="M7" s="6">
        <v>0.20499999999999999</v>
      </c>
    </row>
    <row r="8" spans="1:14" x14ac:dyDescent="0.3">
      <c r="A8" s="6" t="s">
        <v>15</v>
      </c>
      <c r="B8" s="6">
        <v>0.2</v>
      </c>
      <c r="C8" s="6">
        <v>0.24</v>
      </c>
      <c r="D8" s="6">
        <v>0.28000000000000003</v>
      </c>
      <c r="E8" s="6">
        <v>0.22</v>
      </c>
      <c r="F8" s="6">
        <v>0.26</v>
      </c>
      <c r="G8" s="6">
        <v>0.3</v>
      </c>
      <c r="H8" s="6">
        <v>0.21</v>
      </c>
      <c r="I8" s="6">
        <v>0.25</v>
      </c>
      <c r="J8" s="6">
        <v>0.28999999999999998</v>
      </c>
      <c r="K8" s="6">
        <v>0.25</v>
      </c>
      <c r="L8" s="6">
        <v>0.21</v>
      </c>
      <c r="M8" s="6">
        <v>0.28999999999999998</v>
      </c>
    </row>
    <row r="11" spans="1:14" x14ac:dyDescent="0.3">
      <c r="A11" s="15" t="s">
        <v>27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28.8" x14ac:dyDescent="0.3">
      <c r="A12" s="6" t="s">
        <v>3</v>
      </c>
      <c r="B12" s="6" t="s">
        <v>28</v>
      </c>
      <c r="C12" s="6" t="s">
        <v>18</v>
      </c>
      <c r="D12" s="6" t="s">
        <v>19</v>
      </c>
      <c r="E12" s="6" t="s">
        <v>20</v>
      </c>
      <c r="F12" s="6" t="s">
        <v>90</v>
      </c>
      <c r="G12" s="6" t="s">
        <v>91</v>
      </c>
      <c r="H12" s="6" t="s">
        <v>92</v>
      </c>
      <c r="I12" s="6" t="s">
        <v>21</v>
      </c>
      <c r="J12" s="6" t="s">
        <v>22</v>
      </c>
      <c r="K12" s="6" t="s">
        <v>23</v>
      </c>
      <c r="L12" s="6" t="s">
        <v>29</v>
      </c>
    </row>
    <row r="13" spans="1:14" x14ac:dyDescent="0.3">
      <c r="A13" s="7" t="s">
        <v>7</v>
      </c>
      <c r="B13" s="7" t="s">
        <v>6</v>
      </c>
      <c r="C13" s="7">
        <v>7.5</v>
      </c>
      <c r="D13" s="7">
        <v>8.5</v>
      </c>
      <c r="E13" s="7">
        <v>9</v>
      </c>
      <c r="F13" s="7">
        <v>8</v>
      </c>
      <c r="G13" s="7">
        <v>8.5</v>
      </c>
      <c r="H13" s="7">
        <v>9</v>
      </c>
      <c r="I13" s="7">
        <v>7.75</v>
      </c>
      <c r="J13" s="7">
        <v>8.5</v>
      </c>
      <c r="K13" s="7">
        <v>9</v>
      </c>
      <c r="L13" s="7">
        <v>8.42</v>
      </c>
    </row>
    <row r="14" spans="1:14" x14ac:dyDescent="0.3">
      <c r="A14" s="7" t="s">
        <v>7</v>
      </c>
      <c r="B14" s="7" t="s">
        <v>9</v>
      </c>
      <c r="C14" s="7">
        <v>5.5</v>
      </c>
      <c r="D14" s="7">
        <v>6.5</v>
      </c>
      <c r="E14" s="7">
        <v>7.5</v>
      </c>
      <c r="F14" s="7">
        <v>6</v>
      </c>
      <c r="G14" s="7">
        <v>7</v>
      </c>
      <c r="H14" s="7">
        <v>7.5</v>
      </c>
      <c r="I14" s="7">
        <v>5.75</v>
      </c>
      <c r="J14" s="7">
        <v>6.75</v>
      </c>
      <c r="K14" s="7">
        <v>7.5</v>
      </c>
      <c r="L14" s="7">
        <v>6.67</v>
      </c>
    </row>
    <row r="15" spans="1:14" x14ac:dyDescent="0.3">
      <c r="A15" s="7" t="s">
        <v>7</v>
      </c>
      <c r="B15" s="7" t="s">
        <v>11</v>
      </c>
      <c r="C15" s="7">
        <v>4.5</v>
      </c>
      <c r="D15" s="7">
        <v>5.5</v>
      </c>
      <c r="E15" s="7">
        <v>6.5</v>
      </c>
      <c r="F15" s="7">
        <v>5</v>
      </c>
      <c r="G15" s="7">
        <v>6</v>
      </c>
      <c r="H15" s="7">
        <v>6.5</v>
      </c>
      <c r="I15" s="7">
        <v>4.75</v>
      </c>
      <c r="J15" s="7">
        <v>5.75</v>
      </c>
      <c r="K15" s="7">
        <v>6.5</v>
      </c>
      <c r="L15" s="7">
        <v>5.67</v>
      </c>
    </row>
    <row r="16" spans="1:14" x14ac:dyDescent="0.3">
      <c r="A16" s="7" t="s">
        <v>7</v>
      </c>
      <c r="B16" s="7" t="s">
        <v>14</v>
      </c>
      <c r="C16" s="7">
        <v>6</v>
      </c>
      <c r="D16" s="7">
        <v>7</v>
      </c>
      <c r="E16" s="7">
        <v>8</v>
      </c>
      <c r="F16" s="7">
        <v>6.5</v>
      </c>
      <c r="G16" s="7">
        <v>7.5</v>
      </c>
      <c r="H16" s="7">
        <v>8</v>
      </c>
      <c r="I16" s="7">
        <v>6.25</v>
      </c>
      <c r="J16" s="7">
        <v>7.25</v>
      </c>
      <c r="K16" s="7">
        <v>8</v>
      </c>
      <c r="L16" s="7">
        <v>7.17</v>
      </c>
    </row>
    <row r="17" spans="1:12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">
      <c r="A18" s="7" t="s">
        <v>10</v>
      </c>
      <c r="B18" s="7" t="s">
        <v>6</v>
      </c>
      <c r="C18" s="7">
        <v>7</v>
      </c>
      <c r="D18" s="7">
        <v>8</v>
      </c>
      <c r="E18" s="7">
        <v>8.5</v>
      </c>
      <c r="F18" s="7">
        <v>7.5</v>
      </c>
      <c r="G18" s="7">
        <v>8.5</v>
      </c>
      <c r="H18" s="7">
        <v>9</v>
      </c>
      <c r="I18" s="7">
        <v>7.25</v>
      </c>
      <c r="J18" s="7">
        <v>8.25</v>
      </c>
      <c r="K18" s="7">
        <v>8.75</v>
      </c>
      <c r="L18" s="7">
        <v>8.08</v>
      </c>
    </row>
    <row r="19" spans="1:12" x14ac:dyDescent="0.3">
      <c r="A19" s="7" t="s">
        <v>10</v>
      </c>
      <c r="B19" s="7" t="s">
        <v>9</v>
      </c>
      <c r="C19" s="7">
        <v>4.5</v>
      </c>
      <c r="D19" s="7">
        <v>5.5</v>
      </c>
      <c r="E19" s="7">
        <v>6</v>
      </c>
      <c r="F19" s="7">
        <v>5</v>
      </c>
      <c r="G19" s="7">
        <v>6</v>
      </c>
      <c r="H19" s="7">
        <v>6.5</v>
      </c>
      <c r="I19" s="7">
        <v>4.75</v>
      </c>
      <c r="J19" s="7">
        <v>5.75</v>
      </c>
      <c r="K19" s="7">
        <v>6.25</v>
      </c>
      <c r="L19" s="7">
        <v>5.58</v>
      </c>
    </row>
    <row r="20" spans="1:12" x14ac:dyDescent="0.3">
      <c r="A20" s="7" t="s">
        <v>10</v>
      </c>
      <c r="B20" s="7" t="s">
        <v>11</v>
      </c>
      <c r="C20" s="7">
        <v>3.5</v>
      </c>
      <c r="D20" s="7">
        <v>4.5</v>
      </c>
      <c r="E20" s="7">
        <v>5</v>
      </c>
      <c r="F20" s="7">
        <v>4</v>
      </c>
      <c r="G20" s="7">
        <v>5</v>
      </c>
      <c r="H20" s="7">
        <v>5.5</v>
      </c>
      <c r="I20" s="7">
        <v>3.75</v>
      </c>
      <c r="J20" s="7">
        <v>4.75</v>
      </c>
      <c r="K20" s="7">
        <v>5.25</v>
      </c>
      <c r="L20" s="7">
        <v>4.58</v>
      </c>
    </row>
    <row r="21" spans="1:12" x14ac:dyDescent="0.3">
      <c r="A21" s="7" t="s">
        <v>10</v>
      </c>
      <c r="B21" s="7" t="s">
        <v>14</v>
      </c>
      <c r="C21" s="7">
        <v>6.5</v>
      </c>
      <c r="D21" s="7">
        <v>7.5</v>
      </c>
      <c r="E21" s="7">
        <v>8</v>
      </c>
      <c r="F21" s="7">
        <v>7</v>
      </c>
      <c r="G21" s="7">
        <v>8</v>
      </c>
      <c r="H21" s="7">
        <v>8.5</v>
      </c>
      <c r="I21" s="7">
        <v>6.75</v>
      </c>
      <c r="J21" s="7">
        <v>7.75</v>
      </c>
      <c r="K21" s="7">
        <v>8.25</v>
      </c>
      <c r="L21" s="7">
        <v>7.58</v>
      </c>
    </row>
    <row r="22" spans="1:1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3">
      <c r="A23" s="7" t="s">
        <v>12</v>
      </c>
      <c r="B23" s="7" t="s">
        <v>6</v>
      </c>
      <c r="C23" s="7">
        <v>8</v>
      </c>
      <c r="D23" s="7">
        <v>9</v>
      </c>
      <c r="E23" s="7">
        <v>9.5</v>
      </c>
      <c r="F23" s="7">
        <v>8.5</v>
      </c>
      <c r="G23" s="7">
        <v>9</v>
      </c>
      <c r="H23" s="7">
        <v>9.5</v>
      </c>
      <c r="I23" s="7">
        <v>8.25</v>
      </c>
      <c r="J23" s="7">
        <v>9</v>
      </c>
      <c r="K23" s="7">
        <v>9.5</v>
      </c>
      <c r="L23" s="7">
        <v>8.92</v>
      </c>
    </row>
    <row r="24" spans="1:12" x14ac:dyDescent="0.3">
      <c r="A24" s="7" t="s">
        <v>12</v>
      </c>
      <c r="B24" s="7" t="s">
        <v>9</v>
      </c>
      <c r="C24" s="7">
        <v>5.5</v>
      </c>
      <c r="D24" s="7">
        <v>6.5</v>
      </c>
      <c r="E24" s="7">
        <v>7</v>
      </c>
      <c r="F24" s="7">
        <v>6</v>
      </c>
      <c r="G24" s="7">
        <v>7</v>
      </c>
      <c r="H24" s="7">
        <v>7.5</v>
      </c>
      <c r="I24" s="7">
        <v>5.75</v>
      </c>
      <c r="J24" s="7">
        <v>6.75</v>
      </c>
      <c r="K24" s="7">
        <v>7.25</v>
      </c>
      <c r="L24" s="7">
        <v>6.58</v>
      </c>
    </row>
    <row r="25" spans="1:12" x14ac:dyDescent="0.3">
      <c r="A25" s="7" t="s">
        <v>12</v>
      </c>
      <c r="B25" s="7" t="s">
        <v>11</v>
      </c>
      <c r="C25" s="7">
        <v>4</v>
      </c>
      <c r="D25" s="7">
        <v>5</v>
      </c>
      <c r="E25" s="7">
        <v>6</v>
      </c>
      <c r="F25" s="7">
        <v>4.5</v>
      </c>
      <c r="G25" s="7">
        <v>5.5</v>
      </c>
      <c r="H25" s="7">
        <v>6</v>
      </c>
      <c r="I25" s="7">
        <v>4.25</v>
      </c>
      <c r="J25" s="7">
        <v>5.25</v>
      </c>
      <c r="K25" s="7">
        <v>6</v>
      </c>
      <c r="L25" s="7">
        <v>5.17</v>
      </c>
    </row>
    <row r="26" spans="1:12" x14ac:dyDescent="0.3">
      <c r="A26" s="7" t="s">
        <v>12</v>
      </c>
      <c r="B26" s="7" t="s">
        <v>14</v>
      </c>
      <c r="C26" s="7">
        <v>3.5</v>
      </c>
      <c r="D26" s="7">
        <v>4.5</v>
      </c>
      <c r="E26" s="7">
        <v>5</v>
      </c>
      <c r="F26" s="7">
        <v>4</v>
      </c>
      <c r="G26" s="7">
        <v>5</v>
      </c>
      <c r="H26" s="7">
        <v>5.5</v>
      </c>
      <c r="I26" s="7">
        <v>3.75</v>
      </c>
      <c r="J26" s="7">
        <v>4.75</v>
      </c>
      <c r="K26" s="7">
        <v>5.25</v>
      </c>
      <c r="L26" s="7">
        <v>4.58</v>
      </c>
    </row>
    <row r="27" spans="1:12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3">
      <c r="A28" s="7" t="s">
        <v>15</v>
      </c>
      <c r="B28" s="7" t="s">
        <v>6</v>
      </c>
      <c r="C28" s="7">
        <v>7.5</v>
      </c>
      <c r="D28" s="7">
        <v>8.5</v>
      </c>
      <c r="E28" s="7">
        <v>9</v>
      </c>
      <c r="F28" s="7">
        <v>8</v>
      </c>
      <c r="G28" s="7">
        <v>9</v>
      </c>
      <c r="H28" s="7">
        <v>9.5</v>
      </c>
      <c r="I28" s="7">
        <v>7.75</v>
      </c>
      <c r="J28" s="7">
        <v>8.75</v>
      </c>
      <c r="K28" s="7">
        <v>9.25</v>
      </c>
      <c r="L28" s="7">
        <v>8.58</v>
      </c>
    </row>
    <row r="29" spans="1:12" x14ac:dyDescent="0.3">
      <c r="A29" s="5" t="s">
        <v>15</v>
      </c>
      <c r="B29" s="5" t="s">
        <v>9</v>
      </c>
      <c r="C29" s="5">
        <v>4.5</v>
      </c>
      <c r="D29" s="5">
        <v>5.5</v>
      </c>
      <c r="E29" s="5">
        <v>6</v>
      </c>
      <c r="F29" s="5">
        <v>5</v>
      </c>
      <c r="G29" s="5">
        <v>6</v>
      </c>
      <c r="H29" s="5">
        <v>6.5</v>
      </c>
      <c r="I29" s="5">
        <v>4.75</v>
      </c>
      <c r="J29" s="5">
        <v>5.75</v>
      </c>
      <c r="K29" s="5">
        <v>6.25</v>
      </c>
      <c r="L29" s="5">
        <v>5.58</v>
      </c>
    </row>
    <row r="30" spans="1:12" x14ac:dyDescent="0.3">
      <c r="A30" s="5" t="s">
        <v>15</v>
      </c>
      <c r="B30" s="5" t="s">
        <v>11</v>
      </c>
      <c r="C30" s="5">
        <v>3.5</v>
      </c>
      <c r="D30" s="5">
        <v>4.5</v>
      </c>
      <c r="E30" s="5">
        <v>5</v>
      </c>
      <c r="F30" s="5">
        <v>4</v>
      </c>
      <c r="G30" s="5">
        <v>5</v>
      </c>
      <c r="H30" s="5">
        <v>5.5</v>
      </c>
      <c r="I30" s="5">
        <v>3.75</v>
      </c>
      <c r="J30" s="5">
        <v>4.75</v>
      </c>
      <c r="K30" s="5">
        <v>5.25</v>
      </c>
      <c r="L30" s="5">
        <v>4.58</v>
      </c>
    </row>
    <row r="31" spans="1:12" x14ac:dyDescent="0.3">
      <c r="A31" s="5" t="s">
        <v>15</v>
      </c>
      <c r="B31" s="5" t="s">
        <v>14</v>
      </c>
      <c r="C31" s="5">
        <v>6</v>
      </c>
      <c r="D31" s="5">
        <v>7</v>
      </c>
      <c r="E31" s="5">
        <v>8</v>
      </c>
      <c r="F31" s="5">
        <v>6.5</v>
      </c>
      <c r="G31" s="5">
        <v>7.5</v>
      </c>
      <c r="H31" s="5">
        <v>8.5</v>
      </c>
      <c r="I31" s="5">
        <v>6.25</v>
      </c>
      <c r="J31" s="5">
        <v>7.25</v>
      </c>
      <c r="K31" s="5">
        <v>8.25</v>
      </c>
      <c r="L31" s="5">
        <v>7.25</v>
      </c>
    </row>
  </sheetData>
  <mergeCells count="2">
    <mergeCell ref="A11:N11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tabSelected="1" topLeftCell="A12" zoomScaleNormal="100" zoomScaleSheetLayoutView="100" workbookViewId="0">
      <selection activeCell="N19" sqref="N19"/>
    </sheetView>
  </sheetViews>
  <sheetFormatPr defaultRowHeight="14.4" x14ac:dyDescent="0.3"/>
  <cols>
    <col min="1" max="1" width="18" customWidth="1"/>
    <col min="2" max="5" width="16" customWidth="1"/>
    <col min="6" max="13" width="10" customWidth="1"/>
  </cols>
  <sheetData>
    <row r="1" spans="1:17" ht="18" x14ac:dyDescent="0.35">
      <c r="A1" s="13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3">
      <c r="A3" s="1" t="s">
        <v>31</v>
      </c>
    </row>
    <row r="4" spans="1:17" x14ac:dyDescent="0.3">
      <c r="A4" s="7" t="s">
        <v>28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</row>
    <row r="5" spans="1:17" x14ac:dyDescent="0.3">
      <c r="A5" s="7" t="s">
        <v>6</v>
      </c>
      <c r="B5" s="7">
        <v>7.75</v>
      </c>
      <c r="C5" s="7">
        <v>8.5</v>
      </c>
      <c r="D5" s="7">
        <v>9</v>
      </c>
      <c r="E5" s="7">
        <v>7.25</v>
      </c>
      <c r="F5" s="7">
        <v>8.25</v>
      </c>
      <c r="G5" s="7">
        <v>8.75</v>
      </c>
      <c r="H5" s="7">
        <v>8.25</v>
      </c>
      <c r="I5" s="7">
        <v>9</v>
      </c>
      <c r="J5" s="7">
        <v>9.5</v>
      </c>
      <c r="K5" s="7">
        <v>7.75</v>
      </c>
      <c r="L5" s="7">
        <v>8.75</v>
      </c>
      <c r="M5" s="7">
        <v>9.25</v>
      </c>
    </row>
    <row r="6" spans="1:17" x14ac:dyDescent="0.3">
      <c r="A6" s="7" t="s">
        <v>9</v>
      </c>
      <c r="B6" s="7">
        <v>5.75</v>
      </c>
      <c r="C6" s="7">
        <v>6.75</v>
      </c>
      <c r="D6" s="7">
        <v>7.5</v>
      </c>
      <c r="E6" s="7">
        <v>4.75</v>
      </c>
      <c r="F6" s="7">
        <v>5.75</v>
      </c>
      <c r="G6" s="7">
        <v>6.25</v>
      </c>
      <c r="H6" s="7">
        <v>5.75</v>
      </c>
      <c r="I6" s="7">
        <v>6.75</v>
      </c>
      <c r="J6" s="7">
        <v>7.25</v>
      </c>
      <c r="K6" s="7">
        <v>4.75</v>
      </c>
      <c r="L6" s="7">
        <v>5.75</v>
      </c>
      <c r="M6" s="7">
        <v>6.25</v>
      </c>
    </row>
    <row r="7" spans="1:17" x14ac:dyDescent="0.3">
      <c r="A7" s="7" t="s">
        <v>11</v>
      </c>
      <c r="B7" s="7">
        <v>4.75</v>
      </c>
      <c r="C7" s="7">
        <v>5.75</v>
      </c>
      <c r="D7" s="7">
        <v>6.5</v>
      </c>
      <c r="E7" s="7">
        <v>3.75</v>
      </c>
      <c r="F7" s="7">
        <v>4.75</v>
      </c>
      <c r="G7" s="7">
        <v>5.25</v>
      </c>
      <c r="H7" s="7">
        <v>4.25</v>
      </c>
      <c r="I7" s="7">
        <v>5.25</v>
      </c>
      <c r="J7" s="7">
        <v>6</v>
      </c>
      <c r="K7" s="7">
        <v>3.75</v>
      </c>
      <c r="L7" s="7">
        <v>4.75</v>
      </c>
      <c r="M7" s="7">
        <v>5.25</v>
      </c>
    </row>
    <row r="8" spans="1:17" x14ac:dyDescent="0.3">
      <c r="A8" s="7" t="s">
        <v>14</v>
      </c>
      <c r="B8" s="7">
        <v>6.25</v>
      </c>
      <c r="C8" s="7">
        <v>7.25</v>
      </c>
      <c r="D8" s="7">
        <v>8</v>
      </c>
      <c r="E8" s="7">
        <v>6.75</v>
      </c>
      <c r="F8" s="7">
        <v>7.75</v>
      </c>
      <c r="G8" s="7">
        <v>8.25</v>
      </c>
      <c r="H8" s="7">
        <v>3.75</v>
      </c>
      <c r="I8" s="7">
        <v>4.75</v>
      </c>
      <c r="J8" s="7">
        <v>5.25</v>
      </c>
      <c r="K8" s="7">
        <v>6.25</v>
      </c>
      <c r="L8" s="7">
        <v>7.25</v>
      </c>
      <c r="M8" s="7">
        <v>8.25</v>
      </c>
    </row>
    <row r="9" spans="1:17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7" x14ac:dyDescent="0.3">
      <c r="A10" s="7" t="s">
        <v>76</v>
      </c>
      <c r="B10" s="7">
        <v>9</v>
      </c>
      <c r="C10" s="10"/>
      <c r="D10" s="10"/>
      <c r="E10" s="7">
        <v>8.75</v>
      </c>
      <c r="F10" s="10"/>
      <c r="G10" s="10"/>
      <c r="H10" s="7">
        <v>3.75</v>
      </c>
      <c r="I10" s="10"/>
      <c r="J10" s="10"/>
      <c r="K10" s="7">
        <v>9.25</v>
      </c>
      <c r="L10" s="10"/>
      <c r="M10" s="10"/>
    </row>
    <row r="12" spans="1:17" x14ac:dyDescent="0.3">
      <c r="A12" t="s">
        <v>44</v>
      </c>
    </row>
    <row r="13" spans="1:17" x14ac:dyDescent="0.3">
      <c r="A13" s="11" t="s">
        <v>28</v>
      </c>
      <c r="B13" s="11" t="s">
        <v>32</v>
      </c>
      <c r="C13" s="11" t="s">
        <v>33</v>
      </c>
      <c r="D13" s="11" t="s">
        <v>34</v>
      </c>
      <c r="E13" s="11" t="s">
        <v>35</v>
      </c>
      <c r="F13" s="11" t="s">
        <v>36</v>
      </c>
      <c r="G13" s="11" t="s">
        <v>37</v>
      </c>
      <c r="H13" s="11" t="s">
        <v>38</v>
      </c>
      <c r="I13" s="11" t="s">
        <v>39</v>
      </c>
      <c r="J13" s="11" t="s">
        <v>40</v>
      </c>
      <c r="K13" s="11" t="s">
        <v>41</v>
      </c>
      <c r="L13" s="11" t="s">
        <v>42</v>
      </c>
      <c r="M13" s="11" t="s">
        <v>43</v>
      </c>
    </row>
    <row r="14" spans="1:17" x14ac:dyDescent="0.3">
      <c r="A14" s="11" t="s">
        <v>6</v>
      </c>
      <c r="B14" s="11">
        <f>B5/B10</f>
        <v>0.86111111111111116</v>
      </c>
      <c r="C14" s="11">
        <f>C5/B10</f>
        <v>0.94444444444444442</v>
      </c>
      <c r="D14" s="11">
        <f>D5/B10</f>
        <v>1</v>
      </c>
      <c r="E14" s="11">
        <f>E5/E10</f>
        <v>0.82857142857142863</v>
      </c>
      <c r="F14" s="11">
        <f>F5/E10</f>
        <v>0.94285714285714284</v>
      </c>
      <c r="G14" s="11">
        <f>G5/E10</f>
        <v>1</v>
      </c>
      <c r="H14" s="11">
        <f>H10/J5</f>
        <v>0.39473684210526316</v>
      </c>
      <c r="I14" s="11">
        <f>H10/I5</f>
        <v>0.41666666666666669</v>
      </c>
      <c r="J14" s="11">
        <f>H10/H5</f>
        <v>0.45454545454545453</v>
      </c>
      <c r="K14" s="11">
        <f>K5/K10</f>
        <v>0.83783783783783783</v>
      </c>
      <c r="L14" s="11">
        <f>L5/K10</f>
        <v>0.94594594594594594</v>
      </c>
      <c r="M14" s="11">
        <f>M5/K10</f>
        <v>1</v>
      </c>
    </row>
    <row r="15" spans="1:17" x14ac:dyDescent="0.3">
      <c r="A15" s="11" t="s">
        <v>9</v>
      </c>
      <c r="B15" s="11">
        <f>B6/B10</f>
        <v>0.63888888888888884</v>
      </c>
      <c r="C15" s="11">
        <f>C6/B10</f>
        <v>0.75</v>
      </c>
      <c r="D15" s="11">
        <f>D6/B10</f>
        <v>0.83333333333333337</v>
      </c>
      <c r="E15" s="11">
        <f>E6/E10</f>
        <v>0.54285714285714282</v>
      </c>
      <c r="F15" s="11">
        <f>F6/E10</f>
        <v>0.65714285714285714</v>
      </c>
      <c r="G15" s="11">
        <f>G6/E10</f>
        <v>0.7142857142857143</v>
      </c>
      <c r="H15" s="11">
        <f>H10/J6</f>
        <v>0.51724137931034486</v>
      </c>
      <c r="I15" s="11">
        <f>H10/I6</f>
        <v>0.55555555555555558</v>
      </c>
      <c r="J15" s="11">
        <f>H10/H6</f>
        <v>0.65217391304347827</v>
      </c>
      <c r="K15" s="11">
        <f>K6/K10</f>
        <v>0.51351351351351349</v>
      </c>
      <c r="L15" s="11">
        <f>L6/K10</f>
        <v>0.6216216216216216</v>
      </c>
      <c r="M15" s="11">
        <f>M6/K10</f>
        <v>0.67567567567567566</v>
      </c>
    </row>
    <row r="16" spans="1:17" x14ac:dyDescent="0.3">
      <c r="A16" s="11" t="s">
        <v>11</v>
      </c>
      <c r="B16" s="11">
        <f>B7/B10</f>
        <v>0.52777777777777779</v>
      </c>
      <c r="C16" s="11">
        <f>C7/B10</f>
        <v>0.63888888888888884</v>
      </c>
      <c r="D16" s="11">
        <f>D7/B10</f>
        <v>0.72222222222222221</v>
      </c>
      <c r="E16" s="11">
        <f>E7/E10</f>
        <v>0.42857142857142855</v>
      </c>
      <c r="F16" s="11">
        <f>F7/E10</f>
        <v>0.54285714285714282</v>
      </c>
      <c r="G16" s="11">
        <f>G7/E10</f>
        <v>0.6</v>
      </c>
      <c r="H16" s="11">
        <f>H10/J7</f>
        <v>0.625</v>
      </c>
      <c r="I16" s="11">
        <f>H10/I7</f>
        <v>0.7142857142857143</v>
      </c>
      <c r="J16" s="11">
        <f>H10/H7</f>
        <v>0.88235294117647056</v>
      </c>
      <c r="K16" s="11">
        <f>K7/K10</f>
        <v>0.40540540540540543</v>
      </c>
      <c r="L16" s="11">
        <f>L7/K10</f>
        <v>0.51351351351351349</v>
      </c>
      <c r="M16" s="11">
        <f>M7/K10</f>
        <v>0.56756756756756754</v>
      </c>
    </row>
    <row r="17" spans="1:13" x14ac:dyDescent="0.3">
      <c r="A17" s="11" t="s">
        <v>14</v>
      </c>
      <c r="B17" s="11">
        <f>B8/B10</f>
        <v>0.69444444444444442</v>
      </c>
      <c r="C17" s="11">
        <f>C8/B10</f>
        <v>0.80555555555555558</v>
      </c>
      <c r="D17" s="11">
        <f>D8/B10</f>
        <v>0.88888888888888884</v>
      </c>
      <c r="E17" s="11">
        <f>E8/E10</f>
        <v>0.77142857142857146</v>
      </c>
      <c r="F17" s="11">
        <f>F8/E10</f>
        <v>0.88571428571428568</v>
      </c>
      <c r="G17" s="11">
        <f>G8/E10</f>
        <v>0.94285714285714284</v>
      </c>
      <c r="H17" s="11">
        <f>H10/J8</f>
        <v>0.7142857142857143</v>
      </c>
      <c r="I17" s="11">
        <f>H10/I8</f>
        <v>0.78947368421052633</v>
      </c>
      <c r="J17" s="11">
        <f>H10/H8</f>
        <v>1</v>
      </c>
      <c r="K17" s="11">
        <f>K8/K10</f>
        <v>0.67567567567567566</v>
      </c>
      <c r="L17" s="11">
        <f>L8/K10</f>
        <v>0.78378378378378377</v>
      </c>
      <c r="M17" s="11">
        <f>M8/K10</f>
        <v>0.89189189189189189</v>
      </c>
    </row>
    <row r="19" spans="1:13" x14ac:dyDescent="0.3">
      <c r="A19" t="s">
        <v>45</v>
      </c>
    </row>
    <row r="20" spans="1:13" x14ac:dyDescent="0.3">
      <c r="A20" s="10" t="s">
        <v>28</v>
      </c>
      <c r="B20" s="10" t="s">
        <v>32</v>
      </c>
      <c r="C20" s="10" t="s">
        <v>33</v>
      </c>
      <c r="D20" s="10" t="s">
        <v>34</v>
      </c>
      <c r="E20" s="10" t="s">
        <v>35</v>
      </c>
      <c r="F20" s="10" t="s">
        <v>36</v>
      </c>
      <c r="G20" s="10" t="s">
        <v>37</v>
      </c>
      <c r="H20" s="10" t="s">
        <v>38</v>
      </c>
      <c r="I20" s="10" t="s">
        <v>39</v>
      </c>
      <c r="J20" s="10" t="s">
        <v>40</v>
      </c>
      <c r="K20" s="10" t="s">
        <v>41</v>
      </c>
      <c r="L20" s="10" t="s">
        <v>42</v>
      </c>
      <c r="M20" s="10" t="s">
        <v>43</v>
      </c>
    </row>
    <row r="21" spans="1:13" x14ac:dyDescent="0.3">
      <c r="A21" s="10" t="s">
        <v>6</v>
      </c>
      <c r="B21" s="10">
        <f>B14*FuzzyInput!$I$13</f>
        <v>6.6736111111111116</v>
      </c>
      <c r="C21" s="10">
        <f>C14*FuzzyInput!$I$13</f>
        <v>7.3194444444444446</v>
      </c>
      <c r="D21" s="10">
        <f>D14*FuzzyInput!$I$13</f>
        <v>7.75</v>
      </c>
      <c r="E21" s="10">
        <f>E14*FuzzyInput!$I$13</f>
        <v>6.4214285714285717</v>
      </c>
      <c r="F21" s="10">
        <f>F14*FuzzyInput!$I$13</f>
        <v>7.3071428571428569</v>
      </c>
      <c r="G21" s="10">
        <f>G14*FuzzyInput!$I$13</f>
        <v>7.75</v>
      </c>
      <c r="H21" s="10">
        <f>H14*FuzzyInput!$I$13</f>
        <v>3.0592105263157894</v>
      </c>
      <c r="I21" s="10">
        <f>I14*FuzzyInput!$I$13</f>
        <v>3.229166666666667</v>
      </c>
      <c r="J21" s="10">
        <f>J14*FuzzyInput!$I$13</f>
        <v>3.5227272727272725</v>
      </c>
      <c r="K21" s="10">
        <f>K14*FuzzyInput!$I$13</f>
        <v>6.493243243243243</v>
      </c>
      <c r="L21" s="10">
        <f>L14*FuzzyInput!$I$13</f>
        <v>7.3310810810810807</v>
      </c>
      <c r="M21" s="10">
        <f>M14*FuzzyInput!$I$13</f>
        <v>7.75</v>
      </c>
    </row>
    <row r="22" spans="1:13" x14ac:dyDescent="0.3">
      <c r="A22" s="10" t="s">
        <v>9</v>
      </c>
      <c r="B22" s="10">
        <f>B15*FuzzyInput!$I$14</f>
        <v>3.6736111111111107</v>
      </c>
      <c r="C22" s="10">
        <f>C15*FuzzyInput!$I$14</f>
        <v>4.3125</v>
      </c>
      <c r="D22" s="10">
        <f>D15*FuzzyInput!$I$14</f>
        <v>4.791666666666667</v>
      </c>
      <c r="E22" s="10">
        <f>E15*FuzzyInput!$I$14</f>
        <v>3.121428571428571</v>
      </c>
      <c r="F22" s="10">
        <f>F15*FuzzyInput!$I$14</f>
        <v>3.7785714285714285</v>
      </c>
      <c r="G22" s="10">
        <f>G15*FuzzyInput!$I$14</f>
        <v>4.1071428571428577</v>
      </c>
      <c r="H22" s="10">
        <f>H15*FuzzyInput!$I$14</f>
        <v>2.9741379310344831</v>
      </c>
      <c r="I22" s="10">
        <f>I15*FuzzyInput!$I$14</f>
        <v>3.1944444444444446</v>
      </c>
      <c r="J22" s="10">
        <f>J15*FuzzyInput!$I$14</f>
        <v>3.75</v>
      </c>
      <c r="K22" s="10">
        <f>K15*FuzzyInput!$I$14</f>
        <v>2.9527027027027026</v>
      </c>
      <c r="L22" s="10">
        <f>L15*FuzzyInput!$I$14</f>
        <v>3.5743243243243241</v>
      </c>
      <c r="M22" s="10">
        <f>M15*FuzzyInput!$I$14</f>
        <v>3.8851351351351351</v>
      </c>
    </row>
    <row r="23" spans="1:13" x14ac:dyDescent="0.3">
      <c r="A23" s="10" t="s">
        <v>11</v>
      </c>
      <c r="B23" s="10">
        <f>B16*FuzzyInput!$I$15</f>
        <v>2.5069444444444446</v>
      </c>
      <c r="C23" s="10">
        <f>C16*FuzzyInput!$I$15</f>
        <v>3.0347222222222219</v>
      </c>
      <c r="D23" s="10">
        <f>D16*FuzzyInput!$I$15</f>
        <v>3.4305555555555554</v>
      </c>
      <c r="E23" s="10">
        <f>E16*FuzzyInput!$I$15</f>
        <v>2.0357142857142856</v>
      </c>
      <c r="F23" s="10">
        <f>F16*FuzzyInput!$I$15</f>
        <v>2.5785714285714283</v>
      </c>
      <c r="G23" s="10">
        <f>G16*FuzzyInput!$I$15</f>
        <v>2.85</v>
      </c>
      <c r="H23" s="10">
        <f>H16*FuzzyInput!$I$15</f>
        <v>2.96875</v>
      </c>
      <c r="I23" s="10">
        <f>I16*FuzzyInput!$I$15</f>
        <v>3.3928571428571428</v>
      </c>
      <c r="J23" s="10">
        <f>J16*FuzzyInput!$I$15</f>
        <v>4.1911764705882355</v>
      </c>
      <c r="K23" s="10">
        <f>K16*FuzzyInput!$I$15</f>
        <v>1.9256756756756759</v>
      </c>
      <c r="L23" s="10">
        <f>L16*FuzzyInput!$I$15</f>
        <v>2.439189189189189</v>
      </c>
      <c r="M23" s="10">
        <f>M16*FuzzyInput!$I$15</f>
        <v>2.6959459459459456</v>
      </c>
    </row>
    <row r="24" spans="1:13" x14ac:dyDescent="0.3">
      <c r="A24" s="10" t="s">
        <v>14</v>
      </c>
      <c r="B24" s="10">
        <f>B17*FuzzyInput!$I$16</f>
        <v>4.3402777777777777</v>
      </c>
      <c r="C24" s="10">
        <f>C17*FuzzyInput!$I$16</f>
        <v>5.0347222222222223</v>
      </c>
      <c r="D24" s="10">
        <f>D17*FuzzyInput!$I$16</f>
        <v>5.5555555555555554</v>
      </c>
      <c r="E24" s="10">
        <f>E17*FuzzyInput!$I$16</f>
        <v>4.8214285714285721</v>
      </c>
      <c r="F24" s="10">
        <f>F17*FuzzyInput!$I$16</f>
        <v>5.5357142857142856</v>
      </c>
      <c r="G24" s="10">
        <f>G17*FuzzyInput!$I$16</f>
        <v>5.8928571428571423</v>
      </c>
      <c r="H24" s="10">
        <f>H17*FuzzyInput!$I$16</f>
        <v>4.4642857142857144</v>
      </c>
      <c r="I24" s="10">
        <f>I17*FuzzyInput!$I$16</f>
        <v>4.9342105263157894</v>
      </c>
      <c r="J24" s="10">
        <f>J17*FuzzyInput!$I$16</f>
        <v>6.25</v>
      </c>
      <c r="K24" s="10">
        <f>K17*FuzzyInput!$I$16</f>
        <v>4.2229729729729728</v>
      </c>
      <c r="L24" s="10">
        <f>L17*FuzzyInput!$I$16</f>
        <v>4.8986486486486482</v>
      </c>
      <c r="M24" s="10">
        <f>M17*FuzzyInput!$I$16</f>
        <v>5.5743243243243246</v>
      </c>
    </row>
    <row r="27" spans="1:13" x14ac:dyDescent="0.3">
      <c r="A27" t="s">
        <v>46</v>
      </c>
    </row>
    <row r="28" spans="1:13" x14ac:dyDescent="0.3">
      <c r="A28" s="9" t="s">
        <v>47</v>
      </c>
      <c r="B28" s="9">
        <f>MAX(D21:D24)</f>
        <v>7.75</v>
      </c>
      <c r="C28" s="9">
        <f>MAX(D21:D24)</f>
        <v>7.75</v>
      </c>
      <c r="D28" s="9">
        <f>MAX(D21:D24)</f>
        <v>7.75</v>
      </c>
      <c r="E28" s="9">
        <f>MAX(G21:G24)</f>
        <v>7.75</v>
      </c>
      <c r="F28" s="9">
        <f>MAX(G21:G24)</f>
        <v>7.75</v>
      </c>
      <c r="G28" s="9">
        <f>MAX(G21:G24)</f>
        <v>7.75</v>
      </c>
      <c r="H28" s="9">
        <f>MAX(J21:J24)</f>
        <v>6.25</v>
      </c>
      <c r="I28" s="9">
        <f>MAX(J21:J24)</f>
        <v>6.25</v>
      </c>
      <c r="J28" s="9">
        <f>MAX(J21:J24)</f>
        <v>6.25</v>
      </c>
      <c r="K28" s="9">
        <f>MAX(M21:M24)</f>
        <v>7.75</v>
      </c>
      <c r="L28" s="9">
        <f>MAX(M21:M24)</f>
        <v>7.75</v>
      </c>
      <c r="M28" s="9">
        <f>MAX(M21:M24)</f>
        <v>7.75</v>
      </c>
    </row>
    <row r="29" spans="1:13" x14ac:dyDescent="0.3">
      <c r="A29" s="9" t="s">
        <v>48</v>
      </c>
      <c r="B29" s="9">
        <f>MIN(B21:B24)</f>
        <v>2.5069444444444446</v>
      </c>
      <c r="C29" s="9">
        <f>MIN(B21:B24)</f>
        <v>2.5069444444444446</v>
      </c>
      <c r="D29" s="9">
        <f>MIN(B21:B24)</f>
        <v>2.5069444444444446</v>
      </c>
      <c r="E29" s="9">
        <f>MIN(E21:E24)</f>
        <v>2.0357142857142856</v>
      </c>
      <c r="F29" s="9">
        <f>MIN(E21:E24)</f>
        <v>2.0357142857142856</v>
      </c>
      <c r="G29" s="9">
        <f>MIN(E21:E24)</f>
        <v>2.0357142857142856</v>
      </c>
      <c r="H29" s="9">
        <f>MIN(H21:H24)</f>
        <v>2.96875</v>
      </c>
      <c r="I29" s="9">
        <f>MIN(H21:H24)</f>
        <v>2.96875</v>
      </c>
      <c r="J29" s="9">
        <f>MIN(H21:H24)</f>
        <v>2.96875</v>
      </c>
      <c r="K29" s="9">
        <f>MIN(K21:K24)</f>
        <v>1.9256756756756759</v>
      </c>
      <c r="L29" s="9">
        <f>MIN(K21:K24)</f>
        <v>1.9256756756756759</v>
      </c>
      <c r="M29" s="9">
        <f>MIN(K21:K24)</f>
        <v>1.9256756756756759</v>
      </c>
    </row>
    <row r="31" spans="1:13" x14ac:dyDescent="0.3">
      <c r="A31" s="9" t="s">
        <v>28</v>
      </c>
      <c r="B31" s="9" t="s">
        <v>49</v>
      </c>
      <c r="C31" s="9" t="s">
        <v>50</v>
      </c>
      <c r="D31" s="9" t="s">
        <v>51</v>
      </c>
      <c r="E31" s="9" t="s">
        <v>52</v>
      </c>
    </row>
    <row r="32" spans="1:13" x14ac:dyDescent="0.3">
      <c r="A32" s="9" t="s">
        <v>6</v>
      </c>
      <c r="B32" s="9">
        <f>SQRT(AVERAGE((B21-B28)^2,(C21-C28)^2,(D21-D28)^2))+SQRT(AVERAGE((E21-E28)^2,(F21-F28)^2,(G21-G28)^2))+SQRT(AVERAGE((H21-H28)^2,(I21-I28)^2,(J21-J28)^2))+SQRT(AVERAGE((K21-K28)^2,(L21-L28)^2,(M21-M28)^2))</f>
        <v>5.2284831689525522</v>
      </c>
      <c r="C32" s="9">
        <f>SQRT(AVERAGE((B21-B29)^2,(C21-C29)^2,(D21-D29)^2))+SQRT(AVERAGE((E21-E29)^2,(F21-F29)^2,(G21-G29)^2))+SQRT(AVERAGE((H21-H29)^2,(I21-I29)^2,(J21-J29)^2))+SQRT(AVERAGE((K21-K29)^2,(L21-L29)^2,(M21-M29)^2))</f>
        <v>15.56370527730463</v>
      </c>
      <c r="D32" s="9">
        <f>C32/(B32+C32)</f>
        <v>0.74853617826392216</v>
      </c>
      <c r="E32" s="9">
        <f>_xlfn.RANK.AVG(D32,$D$32:$D$35,0)</f>
        <v>1</v>
      </c>
    </row>
    <row r="33" spans="1:5" x14ac:dyDescent="0.3">
      <c r="A33" s="9" t="s">
        <v>9</v>
      </c>
      <c r="B33" s="9">
        <f>SQRT(AVERAGE((B22-B28)^2,(C22-C28)^2,(D22-D28)^2))+SQRT(AVERAGE((E22-E28)^2,(F22-F28)^2,(G22-G28)^2))+SQRT(AVERAGE((H22-H28)^2,(I22-I28)^2,(J22-J28)^2))+SQRT(AVERAGE((K22-K28)^2,(L22-L28)^2,(M22-M28)^2))</f>
        <v>14.880786912119671</v>
      </c>
      <c r="C33" s="9">
        <f>SQRT(AVERAGE((B22-B29)^2,(C22-C29)^2,(D22-D29)^2))+SQRT(AVERAGE((E22-E29)^2,(F22-F29)^2,(G22-G29)^2))+SQRT(AVERAGE((H22-H29)^2,(I22-I29)^2,(J22-J29)^2))+SQRT(AVERAGE((K22-K29)^2,(L22-L29)^2,(M22-M29)^2))</f>
        <v>5.5575790038415267</v>
      </c>
      <c r="D33" s="9">
        <f>C33/(B33+C33)</f>
        <v>0.27191895020831258</v>
      </c>
      <c r="E33" s="9">
        <f t="shared" ref="E33:E35" si="0">_xlfn.RANK.AVG(D33,$D$32:$D$35,0)</f>
        <v>3</v>
      </c>
    </row>
    <row r="34" spans="1:5" x14ac:dyDescent="0.3">
      <c r="A34" s="9" t="s">
        <v>11</v>
      </c>
      <c r="B34" s="9">
        <f>SQRT(AVERAGE((B23-B28)^2,(C23-C28)^2,(D23-D28)^2))+SQRT(AVERAGE((E23-E28)^2,(F23-F28)^2,(G23-G28)^2))+SQRT(AVERAGE((H23-H28)^2,(I23-I28)^2,(J23-J28)^2))+SQRT(AVERAGE((K23-K28)^2,(L23-L28)^2,(M23-M28)^2))</f>
        <v>18.231952907653326</v>
      </c>
      <c r="C34" s="9">
        <f>SQRT(AVERAGE((B23-B29)^2,(C23-C29)^2,(D23-D29)^2))+SQRT(AVERAGE((E23-E29)^2,(F23-F29)^2,(G23-G29)^2))+SQRT(AVERAGE((H23-H29)^2,(I23-I29)^2,(J23-J29)^2))+SQRT(AVERAGE((K23-K29)^2,(L23-L29)^2,(M23-M29)^2))</f>
        <v>2.4607105169925125</v>
      </c>
      <c r="D34" s="9">
        <f>C34/(B34+C34)</f>
        <v>0.11891705125120346</v>
      </c>
      <c r="E34" s="9">
        <f t="shared" si="0"/>
        <v>4</v>
      </c>
    </row>
    <row r="35" spans="1:5" x14ac:dyDescent="0.3">
      <c r="A35" s="9" t="s">
        <v>14</v>
      </c>
      <c r="B35" s="9">
        <f>SQRT(AVERAGE((B24-B28)^2,(C24-C28)^2,(D24-D28)^2))+SQRT(AVERAGE((E24-E28)^2,(F24-F28)^2,(G24-G28)^2))+SQRT(AVERAGE((H24-H28)^2,(I24-I28)^2,(J24-J28)^2))+SQRT(AVERAGE((K24-K28)^2,(L24-L28)^2,(M24-M28)^2))</f>
        <v>9.3778134428860973</v>
      </c>
      <c r="C35" s="9">
        <f>SQRT(AVERAGE((B24-B29)^2,(C24-C29)^2,(D24-D29)^2))+SQRT(AVERAGE((E24-E29)^2,(F24-F29)^2,(G24-G29)^2))+SQRT(AVERAGE((H24-H29)^2,(I24-I29)^2,(J24-J29)^2))+SQRT(AVERAGE((K24-K29)^2,(L24-L29)^2,(M24-M29)^2))</f>
        <v>11.324567167562655</v>
      </c>
      <c r="D35" s="9">
        <f>C35/(B35+C35)</f>
        <v>0.5470176295496666</v>
      </c>
      <c r="E35" s="9">
        <f t="shared" si="0"/>
        <v>2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topLeftCell="A12" zoomScaleNormal="100" zoomScaleSheetLayoutView="100" workbookViewId="0">
      <selection activeCell="G29" sqref="G29"/>
    </sheetView>
  </sheetViews>
  <sheetFormatPr defaultRowHeight="14.4" x14ac:dyDescent="0.3"/>
  <cols>
    <col min="1" max="1" width="16" customWidth="1"/>
    <col min="2" max="6" width="12" customWidth="1"/>
    <col min="7" max="7" width="8" customWidth="1"/>
    <col min="8" max="9" width="14" customWidth="1"/>
    <col min="11" max="11" width="14" customWidth="1"/>
  </cols>
  <sheetData>
    <row r="1" spans="1:11" ht="18" x14ac:dyDescent="0.35">
      <c r="A1" s="13" t="s">
        <v>53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x14ac:dyDescent="0.3">
      <c r="A3" s="1" t="s">
        <v>54</v>
      </c>
    </row>
    <row r="4" spans="1:11" x14ac:dyDescent="0.3">
      <c r="A4" s="7" t="s">
        <v>3</v>
      </c>
      <c r="B4" s="7" t="s">
        <v>7</v>
      </c>
      <c r="C4" s="7" t="s">
        <v>10</v>
      </c>
      <c r="D4" s="7" t="s">
        <v>12</v>
      </c>
      <c r="E4" s="7" t="s">
        <v>15</v>
      </c>
    </row>
    <row r="5" spans="1:11" x14ac:dyDescent="0.3">
      <c r="A5" s="7" t="s">
        <v>7</v>
      </c>
      <c r="B5" s="7">
        <v>1</v>
      </c>
      <c r="C5" s="7">
        <v>3</v>
      </c>
      <c r="D5" s="7">
        <v>5</v>
      </c>
      <c r="E5" s="7">
        <v>2</v>
      </c>
    </row>
    <row r="6" spans="1:11" x14ac:dyDescent="0.3">
      <c r="A6" s="7" t="s">
        <v>10</v>
      </c>
      <c r="B6" s="7">
        <v>0.33</v>
      </c>
      <c r="C6" s="7">
        <v>1</v>
      </c>
      <c r="D6" s="7">
        <v>2</v>
      </c>
      <c r="E6" s="7">
        <v>0.67</v>
      </c>
    </row>
    <row r="7" spans="1:11" x14ac:dyDescent="0.3">
      <c r="A7" s="7" t="s">
        <v>12</v>
      </c>
      <c r="B7" s="7">
        <v>0.2</v>
      </c>
      <c r="C7" s="7">
        <v>0.5</v>
      </c>
      <c r="D7" s="7">
        <v>1</v>
      </c>
      <c r="E7" s="7">
        <v>0.4</v>
      </c>
    </row>
    <row r="8" spans="1:11" x14ac:dyDescent="0.3">
      <c r="A8" s="7" t="s">
        <v>15</v>
      </c>
      <c r="B8" s="7">
        <v>0.5</v>
      </c>
      <c r="C8" s="7">
        <v>1.5</v>
      </c>
      <c r="D8" s="7">
        <v>2.5</v>
      </c>
      <c r="E8" s="7">
        <v>1</v>
      </c>
    </row>
    <row r="9" spans="1:11" x14ac:dyDescent="0.3">
      <c r="A9" s="7" t="s">
        <v>77</v>
      </c>
      <c r="B9" s="7">
        <v>2.0299999999999998</v>
      </c>
      <c r="C9" s="7">
        <v>6</v>
      </c>
      <c r="D9" s="7">
        <v>10.5</v>
      </c>
      <c r="E9" s="7">
        <v>4.07</v>
      </c>
    </row>
    <row r="11" spans="1:11" x14ac:dyDescent="0.3">
      <c r="A11" s="1" t="s">
        <v>55</v>
      </c>
    </row>
    <row r="12" spans="1:11" x14ac:dyDescent="0.3">
      <c r="A12" s="9" t="s">
        <v>3</v>
      </c>
      <c r="B12" s="9" t="s">
        <v>7</v>
      </c>
      <c r="C12" s="9" t="s">
        <v>10</v>
      </c>
      <c r="D12" s="9" t="s">
        <v>12</v>
      </c>
      <c r="E12" s="9" t="s">
        <v>15</v>
      </c>
      <c r="F12" s="9" t="s">
        <v>56</v>
      </c>
    </row>
    <row r="13" spans="1:11" x14ac:dyDescent="0.3">
      <c r="A13" s="9" t="s">
        <v>7</v>
      </c>
      <c r="B13" s="9">
        <f>B5/B9</f>
        <v>0.49261083743842371</v>
      </c>
      <c r="C13" s="9">
        <f>C5/C9</f>
        <v>0.5</v>
      </c>
      <c r="D13" s="9">
        <f>D5/D9</f>
        <v>0.47619047619047616</v>
      </c>
      <c r="E13" s="9">
        <f>E5/E9</f>
        <v>0.49140049140049136</v>
      </c>
      <c r="F13" s="9">
        <f>AVERAGE(B13:E13)</f>
        <v>0.49005045125734781</v>
      </c>
    </row>
    <row r="14" spans="1:11" x14ac:dyDescent="0.3">
      <c r="A14" s="9" t="s">
        <v>10</v>
      </c>
      <c r="B14" s="9">
        <f>B6/B9</f>
        <v>0.16256157635467983</v>
      </c>
      <c r="C14" s="9">
        <f>C6/C9</f>
        <v>0.16666666666666666</v>
      </c>
      <c r="D14" s="9">
        <f>D6/D9</f>
        <v>0.19047619047619047</v>
      </c>
      <c r="E14" s="9">
        <f>E6/E9</f>
        <v>0.16461916461916462</v>
      </c>
      <c r="F14" s="9">
        <f>AVERAGE(B14:E14)</f>
        <v>0.17108089952917538</v>
      </c>
    </row>
    <row r="15" spans="1:11" x14ac:dyDescent="0.3">
      <c r="A15" s="9" t="s">
        <v>12</v>
      </c>
      <c r="B15" s="9">
        <f>B7/B9</f>
        <v>9.8522167487684748E-2</v>
      </c>
      <c r="C15" s="9">
        <f>C7/C9</f>
        <v>8.3333333333333329E-2</v>
      </c>
      <c r="D15" s="9">
        <f>D7/D9</f>
        <v>9.5238095238095233E-2</v>
      </c>
      <c r="E15" s="9">
        <f>E7/E9</f>
        <v>9.8280098280098274E-2</v>
      </c>
      <c r="F15" s="9">
        <f>AVERAGE(B15:E15)</f>
        <v>9.3843423584802896E-2</v>
      </c>
    </row>
    <row r="16" spans="1:11" x14ac:dyDescent="0.3">
      <c r="A16" s="9" t="s">
        <v>15</v>
      </c>
      <c r="B16" s="9">
        <f>B8/B9</f>
        <v>0.24630541871921185</v>
      </c>
      <c r="C16" s="9">
        <f>C8/C9</f>
        <v>0.25</v>
      </c>
      <c r="D16" s="9">
        <f>D8/D9</f>
        <v>0.23809523809523808</v>
      </c>
      <c r="E16" s="9">
        <f>E8/E9</f>
        <v>0.24570024570024568</v>
      </c>
      <c r="F16" s="9">
        <f>AVERAGE(B16:E16)</f>
        <v>0.2450252256286739</v>
      </c>
    </row>
    <row r="18" spans="1:7" x14ac:dyDescent="0.3">
      <c r="A18" s="1" t="s">
        <v>57</v>
      </c>
    </row>
    <row r="19" spans="1:7" x14ac:dyDescent="0.3">
      <c r="A19" s="9" t="s">
        <v>58</v>
      </c>
      <c r="B19" s="9" t="s">
        <v>59</v>
      </c>
      <c r="C19" s="9" t="s">
        <v>60</v>
      </c>
      <c r="D19" s="9"/>
      <c r="E19" s="9"/>
      <c r="F19" s="9"/>
    </row>
    <row r="20" spans="1:7" x14ac:dyDescent="0.3">
      <c r="A20" s="9" t="s">
        <v>7</v>
      </c>
      <c r="B20" s="9">
        <f>B5*$F$13+C5*$F$14+D5*$F$15+E5*$F$16</f>
        <v>1.9625607190262364</v>
      </c>
      <c r="C20" s="9">
        <f>B20/$F$13</f>
        <v>4.0048136145794642</v>
      </c>
      <c r="D20" s="9"/>
      <c r="E20" s="9" t="s">
        <v>61</v>
      </c>
      <c r="F20" s="9">
        <f>AVERAGE(C20:C23)</f>
        <v>4.0029665504656062</v>
      </c>
    </row>
    <row r="21" spans="1:7" x14ac:dyDescent="0.3">
      <c r="A21" s="9" t="s">
        <v>10</v>
      </c>
      <c r="B21" s="9">
        <f>B6*$F$13+C6*$F$14+D6*$F$15+E6*$F$16</f>
        <v>0.68465129678491743</v>
      </c>
      <c r="C21" s="9">
        <f>B21/$F$14</f>
        <v>4.0019154602829294</v>
      </c>
      <c r="D21" s="9"/>
      <c r="E21" s="9" t="s">
        <v>62</v>
      </c>
      <c r="F21" s="9">
        <f>(F20-4)/(4-1)</f>
        <v>9.8885015520207742E-4</v>
      </c>
    </row>
    <row r="22" spans="1:7" x14ac:dyDescent="0.3">
      <c r="A22" s="9" t="s">
        <v>12</v>
      </c>
      <c r="B22" s="9">
        <f>B7*$F$13+C7*$F$14+D7*$F$15+E7*$F$16</f>
        <v>0.37540405385232972</v>
      </c>
      <c r="C22" s="9">
        <f>B22/$F$15</f>
        <v>4.0003235124205663</v>
      </c>
      <c r="D22" s="9"/>
      <c r="E22" s="9" t="s">
        <v>63</v>
      </c>
      <c r="F22" s="9">
        <v>0.9</v>
      </c>
    </row>
    <row r="23" spans="1:7" x14ac:dyDescent="0.3">
      <c r="A23" s="9" t="s">
        <v>15</v>
      </c>
      <c r="B23" s="9">
        <f>B8*$F$13+C8*$F$14+D8*$F$15+E8*$F$16</f>
        <v>0.98128035951311821</v>
      </c>
      <c r="C23" s="9">
        <f>B23/$F$16</f>
        <v>4.0048136145794642</v>
      </c>
      <c r="D23" s="9"/>
      <c r="E23" s="9" t="s">
        <v>64</v>
      </c>
      <c r="F23" s="9">
        <f>F21/F22</f>
        <v>1.0987223946689749E-3</v>
      </c>
    </row>
    <row r="26" spans="1:7" x14ac:dyDescent="0.3">
      <c r="A26" s="12" t="s">
        <v>65</v>
      </c>
    </row>
    <row r="27" spans="1:7" x14ac:dyDescent="0.3">
      <c r="A27" s="10" t="s">
        <v>28</v>
      </c>
      <c r="B27" s="10" t="s">
        <v>66</v>
      </c>
      <c r="C27" s="10" t="s">
        <v>67</v>
      </c>
      <c r="D27" s="10" t="s">
        <v>68</v>
      </c>
      <c r="E27" s="10" t="s">
        <v>69</v>
      </c>
      <c r="F27" s="10" t="s">
        <v>70</v>
      </c>
      <c r="G27" s="10" t="s">
        <v>52</v>
      </c>
    </row>
    <row r="28" spans="1:7" x14ac:dyDescent="0.3">
      <c r="A28" s="10" t="s">
        <v>6</v>
      </c>
      <c r="B28" s="10">
        <v>0.31</v>
      </c>
      <c r="C28" s="10">
        <v>0.28000000000000003</v>
      </c>
      <c r="D28" s="10">
        <v>0.22</v>
      </c>
      <c r="E28" s="10">
        <v>0.28999999999999998</v>
      </c>
      <c r="F28" s="10">
        <v>1.1000000000000001</v>
      </c>
      <c r="G28" s="10">
        <v>1</v>
      </c>
    </row>
    <row r="29" spans="1:7" x14ac:dyDescent="0.3">
      <c r="A29" s="10" t="s">
        <v>9</v>
      </c>
      <c r="B29" s="10">
        <v>0.23</v>
      </c>
      <c r="C29" s="10">
        <v>0.19</v>
      </c>
      <c r="D29" s="10">
        <v>0.17</v>
      </c>
      <c r="E29" s="10">
        <v>0.2</v>
      </c>
      <c r="F29" s="10">
        <v>0.79</v>
      </c>
      <c r="G29" s="10">
        <v>3</v>
      </c>
    </row>
    <row r="30" spans="1:7" x14ac:dyDescent="0.3">
      <c r="A30" s="10" t="s">
        <v>11</v>
      </c>
      <c r="B30" s="10">
        <v>0.19</v>
      </c>
      <c r="C30" s="10">
        <v>0.16</v>
      </c>
      <c r="D30" s="10">
        <v>0.15</v>
      </c>
      <c r="E30" s="10">
        <v>0.17</v>
      </c>
      <c r="F30" s="10">
        <v>0.67</v>
      </c>
      <c r="G30" s="10">
        <v>4</v>
      </c>
    </row>
    <row r="31" spans="1:7" x14ac:dyDescent="0.3">
      <c r="A31" s="10" t="s">
        <v>14</v>
      </c>
      <c r="B31" s="10">
        <v>0.27</v>
      </c>
      <c r="C31" s="10">
        <v>0.25</v>
      </c>
      <c r="D31" s="10">
        <v>0.14000000000000001</v>
      </c>
      <c r="E31" s="10">
        <v>0.26</v>
      </c>
      <c r="F31" s="10">
        <v>0.92</v>
      </c>
      <c r="G31" s="10">
        <v>2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zoomScaleSheetLayoutView="100" workbookViewId="0">
      <selection activeCell="F16" sqref="F16"/>
    </sheetView>
  </sheetViews>
  <sheetFormatPr defaultRowHeight="14.4" x14ac:dyDescent="0.3"/>
  <cols>
    <col min="1" max="1" width="18" customWidth="1"/>
    <col min="2" max="2" width="10" customWidth="1"/>
    <col min="3" max="3" width="8" customWidth="1"/>
    <col min="5" max="5" width="18" customWidth="1"/>
    <col min="6" max="6" width="10" customWidth="1"/>
    <col min="7" max="7" width="8" customWidth="1"/>
  </cols>
  <sheetData>
    <row r="1" spans="1:8" ht="18" x14ac:dyDescent="0.35">
      <c r="A1" s="13" t="s">
        <v>71</v>
      </c>
      <c r="B1" s="14"/>
      <c r="C1" s="14"/>
      <c r="D1" s="14"/>
      <c r="E1" s="14"/>
      <c r="F1" s="14"/>
      <c r="G1" s="14"/>
      <c r="H1" s="14"/>
    </row>
    <row r="3" spans="1:8" x14ac:dyDescent="0.3">
      <c r="A3" s="1" t="s">
        <v>72</v>
      </c>
      <c r="E3" s="1" t="s">
        <v>73</v>
      </c>
    </row>
    <row r="4" spans="1:8" x14ac:dyDescent="0.3">
      <c r="A4" t="s">
        <v>28</v>
      </c>
      <c r="B4" t="s">
        <v>74</v>
      </c>
      <c r="C4" t="s">
        <v>52</v>
      </c>
      <c r="E4" t="s">
        <v>28</v>
      </c>
      <c r="F4" t="s">
        <v>75</v>
      </c>
      <c r="G4" t="s">
        <v>52</v>
      </c>
    </row>
    <row r="5" spans="1:8" x14ac:dyDescent="0.3">
      <c r="A5" t="s">
        <v>6</v>
      </c>
      <c r="B5">
        <f>FuzzyTOPSIS!D32</f>
        <v>0.74853617826392216</v>
      </c>
      <c r="C5">
        <f>FuzzyTOPSIS!E32</f>
        <v>1</v>
      </c>
      <c r="E5" t="s">
        <v>6</v>
      </c>
      <c r="F5">
        <f>МАИ!F28</f>
        <v>1.1000000000000001</v>
      </c>
      <c r="G5">
        <f>МАИ!G28</f>
        <v>1</v>
      </c>
    </row>
    <row r="6" spans="1:8" x14ac:dyDescent="0.3">
      <c r="A6" t="s">
        <v>9</v>
      </c>
      <c r="B6">
        <f>FuzzyTOPSIS!D33</f>
        <v>0.27191895020831258</v>
      </c>
      <c r="C6">
        <f>FuzzyTOPSIS!E33</f>
        <v>3</v>
      </c>
      <c r="E6" t="s">
        <v>9</v>
      </c>
      <c r="F6">
        <f>МАИ!F29</f>
        <v>0.79</v>
      </c>
      <c r="G6">
        <v>3</v>
      </c>
    </row>
    <row r="7" spans="1:8" x14ac:dyDescent="0.3">
      <c r="A7" t="s">
        <v>11</v>
      </c>
      <c r="B7">
        <f>FuzzyTOPSIS!D34</f>
        <v>0.11891705125120346</v>
      </c>
      <c r="C7">
        <f>FuzzyTOPSIS!E34</f>
        <v>4</v>
      </c>
      <c r="E7" t="s">
        <v>11</v>
      </c>
      <c r="F7">
        <f>МАИ!F30</f>
        <v>0.67</v>
      </c>
      <c r="G7">
        <v>4</v>
      </c>
    </row>
    <row r="8" spans="1:8" x14ac:dyDescent="0.3">
      <c r="A8" t="s">
        <v>14</v>
      </c>
      <c r="B8">
        <f>FuzzyTOPSIS!D35</f>
        <v>0.5470176295496666</v>
      </c>
      <c r="C8">
        <f>FuzzyTOPSIS!E35</f>
        <v>2</v>
      </c>
      <c r="E8" t="s">
        <v>14</v>
      </c>
      <c r="F8">
        <f>МАИ!F31</f>
        <v>0.92</v>
      </c>
      <c r="G8">
        <f>МАИ!G31</f>
        <v>2</v>
      </c>
    </row>
    <row r="10" spans="1:8" x14ac:dyDescent="0.3">
      <c r="A10" s="16"/>
      <c r="B10" s="14"/>
      <c r="C10" s="14"/>
      <c r="D10" s="14"/>
      <c r="E10" s="14"/>
      <c r="F10" s="14"/>
      <c r="G10" s="14"/>
    </row>
    <row r="11" spans="1:8" x14ac:dyDescent="0.3">
      <c r="A11" s="14"/>
      <c r="B11" s="14"/>
      <c r="C11" s="14"/>
      <c r="D11" s="14"/>
      <c r="E11" s="14"/>
      <c r="F11" s="14"/>
      <c r="G11" s="14"/>
    </row>
  </sheetData>
  <mergeCells count="2">
    <mergeCell ref="A10:G1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Overview</vt:lpstr>
      <vt:lpstr>FuzzyInput</vt:lpstr>
      <vt:lpstr>FuzzyTOPSIS</vt:lpstr>
      <vt:lpstr>МАИ</vt:lpstr>
      <vt:lpstr>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nsazo</dc:creator>
  <cp:keywords/>
  <dc:description/>
  <cp:lastModifiedBy>Иван -</cp:lastModifiedBy>
  <cp:revision/>
  <dcterms:created xsi:type="dcterms:W3CDTF">2025-12-16T14:28:21Z</dcterms:created>
  <dcterms:modified xsi:type="dcterms:W3CDTF">2026-01-15T12:55:53Z</dcterms:modified>
  <cp:category/>
  <cp:contentStatus/>
</cp:coreProperties>
</file>